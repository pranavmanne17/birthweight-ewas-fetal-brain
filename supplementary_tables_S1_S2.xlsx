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able S1 Keywords" sheetId="2" state="visible" r:id="rId4"/>
    <sheet name="Table S2 Reassignments" sheetId="3" state="visible" r:id="rId5"/>
    <sheet name="Categories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<sst xmlns="http://schemas.openxmlformats.org/spreadsheetml/2006/main" count="321" uniqueCount="170">
  <si>
    <t xml:space="preserve">Supplementary Tables for: Maternal Micronutrient Deficiency, DNA Methylation, and Fetal Neurodevelopment in Low-Resource Settings: A Secondary Analysis of Growth-Associated EWAS Signatures</t>
  </si>
  <si>
    <t xml:space="preserve">Pranav Manne</t>
  </si>
  <si>
    <t xml:space="preserve">Table S1 - Keyword sets used to assign the 729 birthweight-associated genes to functional categories (Methods 2.5).</t>
  </si>
  <si>
    <t xml:space="preserve">Table S2 - Manual reassignments made after the automated keyword pass (30 genes; Methods 2.5; Results 3.3).</t>
  </si>
  <si>
    <t xml:space="preserve">Provenance</t>
  </si>
  <si>
    <t xml:space="preserve">S1 is copied exactly from the classification code (Colab notebook, cell 'ONE-CELL GENE CLASSIFICATION'). GO Biological Process terms were retrieved from MyGene.info (field go.BP, species human) on 21 June 2026.</t>
  </si>
  <si>
    <t xml:space="preserve">S2 is derived by comparing go_gene_classification.csv (automated) with reconciled_classification_FINAL.csv (after review). The 'Basis' column summarises each gene's documented primary function; check the wording matches your reasoning.</t>
  </si>
  <si>
    <t xml:space="preserve">Table S1. Keyword sets for functional classification of birthweight-associated genes</t>
  </si>
  <si>
    <t xml:space="preserve">Each gene's GO Biological Process term names were lower-cased and searched for each keyword as a substring. A gene matching more than one category was assigned to the highest-priority category (1 = highest). Neurodevelopment was deliberately ranked lowest of the substantive categories. Genes with no GO BP terms or no keyword match were assigned to (v) Other / unclassified.</t>
  </si>
  <si>
    <t xml:space="preserve">Priority</t>
  </si>
  <si>
    <t xml:space="preserve">Category</t>
  </si>
  <si>
    <t xml:space="preserve">Keyword (substring match)</t>
  </si>
  <si>
    <t xml:space="preserve">Keywords in category</t>
  </si>
  <si>
    <t xml:space="preserve">(i) Growth factor &amp; hormone signalling</t>
  </si>
  <si>
    <t xml:space="preserve">growth factor</t>
  </si>
  <si>
    <t xml:space="preserve">insulin-like growth</t>
  </si>
  <si>
    <t xml:space="preserve">insulin receptor signaling</t>
  </si>
  <si>
    <t xml:space="preserve">response to insulin</t>
  </si>
  <si>
    <t xml:space="preserve">hormone</t>
  </si>
  <si>
    <t xml:space="preserve">somatotropin</t>
  </si>
  <si>
    <t xml:space="preserve">growth hormone</t>
  </si>
  <si>
    <t xml:space="preserve">regulation of growth</t>
  </si>
  <si>
    <t xml:space="preserve">developmental growth</t>
  </si>
  <si>
    <t xml:space="preserve">skeletal system</t>
  </si>
  <si>
    <t xml:space="preserve">epidermal growth factor</t>
  </si>
  <si>
    <t xml:space="preserve">fibroblast growth factor</t>
  </si>
  <si>
    <t xml:space="preserve">steroid hormone</t>
  </si>
  <si>
    <t xml:space="preserve">thyroid hormone</t>
  </si>
  <si>
    <t xml:space="preserve">androgen</t>
  </si>
  <si>
    <t xml:space="preserve">estrogen</t>
  </si>
  <si>
    <t xml:space="preserve">(ii) Metabolic regulation (incl. one-carbon)</t>
  </si>
  <si>
    <t xml:space="preserve">one-carbon</t>
  </si>
  <si>
    <t xml:space="preserve">folic acid</t>
  </si>
  <si>
    <t xml:space="preserve">folate</t>
  </si>
  <si>
    <t xml:space="preserve">methionine</t>
  </si>
  <si>
    <t xml:space="preserve">homocysteine</t>
  </si>
  <si>
    <t xml:space="preserve">s-adenosylmethionine</t>
  </si>
  <si>
    <t xml:space="preserve">tetrahydrofolate</t>
  </si>
  <si>
    <t xml:space="preserve">dna methylation</t>
  </si>
  <si>
    <t xml:space="preserve">methylation</t>
  </si>
  <si>
    <t xml:space="preserve">transmethylation</t>
  </si>
  <si>
    <t xml:space="preserve">lipid metabolic</t>
  </si>
  <si>
    <t xml:space="preserve">fatty acid</t>
  </si>
  <si>
    <t xml:space="preserve">cholesterol</t>
  </si>
  <si>
    <t xml:space="preserve">glucose metabolic</t>
  </si>
  <si>
    <t xml:space="preserve">carbohydrate metabolic</t>
  </si>
  <si>
    <t xml:space="preserve">metabolic process</t>
  </si>
  <si>
    <t xml:space="preserve">oxidation-reduction</t>
  </si>
  <si>
    <t xml:space="preserve">cellular respiration</t>
  </si>
  <si>
    <t xml:space="preserve">gluconeogenesis</t>
  </si>
  <si>
    <t xml:space="preserve">(iii) Immune &amp; inflammatory (incl. JAK-STAT)</t>
  </si>
  <si>
    <t xml:space="preserve">immune</t>
  </si>
  <si>
    <t xml:space="preserve">inflammat</t>
  </si>
  <si>
    <t xml:space="preserve">cytokine</t>
  </si>
  <si>
    <t xml:space="preserve">interferon</t>
  </si>
  <si>
    <t xml:space="preserve">interleukin</t>
  </si>
  <si>
    <t xml:space="preserve">jak-stat</t>
  </si>
  <si>
    <t xml:space="preserve">innate immune</t>
  </si>
  <si>
    <t xml:space="preserve">adaptive immune</t>
  </si>
  <si>
    <t xml:space="preserve">tumor necrosis</t>
  </si>
  <si>
    <t xml:space="preserve">chemokine</t>
  </si>
  <si>
    <t xml:space="preserve">leukocyte</t>
  </si>
  <si>
    <t xml:space="preserve">t cell</t>
  </si>
  <si>
    <t xml:space="preserve">b cell</t>
  </si>
  <si>
    <t xml:space="preserve">nf-kappab</t>
  </si>
  <si>
    <t xml:space="preserve">toll-like receptor</t>
  </si>
  <si>
    <t xml:space="preserve">antigen</t>
  </si>
  <si>
    <t xml:space="preserve">complement activation</t>
  </si>
  <si>
    <t xml:space="preserve">(iv) Neurodevelopment &amp; synaptic function</t>
  </si>
  <si>
    <t xml:space="preserve">neuron</t>
  </si>
  <si>
    <t xml:space="preserve">axon</t>
  </si>
  <si>
    <t xml:space="preserve">synap</t>
  </si>
  <si>
    <t xml:space="preserve">dendrit</t>
  </si>
  <si>
    <t xml:space="preserve">nervous system development</t>
  </si>
  <si>
    <t xml:space="preserve">neurogenesis</t>
  </si>
  <si>
    <t xml:space="preserve">neural</t>
  </si>
  <si>
    <t xml:space="preserve">glial</t>
  </si>
  <si>
    <t xml:space="preserve">gliogenesis</t>
  </si>
  <si>
    <t xml:space="preserve">myelin</t>
  </si>
  <si>
    <t xml:space="preserve">brain development</t>
  </si>
  <si>
    <t xml:space="preserve">cognition</t>
  </si>
  <si>
    <t xml:space="preserve">learning</t>
  </si>
  <si>
    <t xml:space="preserve">memory</t>
  </si>
  <si>
    <t xml:space="preserve">neurotransmitter</t>
  </si>
  <si>
    <t xml:space="preserve">neuromuscular</t>
  </si>
  <si>
    <t xml:space="preserve">forebrain</t>
  </si>
  <si>
    <t xml:space="preserve">cerebral cortex</t>
  </si>
  <si>
    <t xml:space="preserve">(v) Other / unclassified</t>
  </si>
  <si>
    <t xml:space="preserve">(no keyword: assigned when nothing above matched)</t>
  </si>
  <si>
    <t xml:space="preserve">Total keywords</t>
  </si>
  <si>
    <t xml:space="preserve">Table S2. Manual reassignments after the automated keyword pass (30 of 729 genes, 4.1%)</t>
  </si>
  <si>
    <t xml:space="preserve">Genes whose automated GO BP assignment conflicted with an unambiguous, well-documented primary function were reassigned by hand. 'GO BP keyword matches' lists every category the gene's GO terms matched; blank means no match.</t>
  </si>
  <si>
    <t xml:space="preserve">#</t>
  </si>
  <si>
    <t xml:space="preserve">Gene</t>
  </si>
  <si>
    <t xml:space="preserve">Automated category</t>
  </si>
  <si>
    <t xml:space="preserve">GO BP keyword matches</t>
  </si>
  <si>
    <t xml:space="preserve">Final category</t>
  </si>
  <si>
    <t xml:space="preserve">Basis for correction</t>
  </si>
  <si>
    <t xml:space="preserve">ADARB1</t>
  </si>
  <si>
    <t xml:space="preserve">ADAR2: RNA editing of the neuronal glutamate receptor subunit GluA2; no GO BP term matched any keyword</t>
  </si>
  <si>
    <t xml:space="preserve">ADGRG1</t>
  </si>
  <si>
    <t xml:space="preserve">(i) Growth factor &amp; hormone signalling; (iv) Neurodevelopment &amp; synaptic function</t>
  </si>
  <si>
    <t xml:space="preserve">GPR56: regulates cortical development; loss of function causes polymicrogyria</t>
  </si>
  <si>
    <t xml:space="preserve">CACNA2D3</t>
  </si>
  <si>
    <t xml:space="preserve">Voltage-gated calcium channel subunit; synapse formation and neuronal signalling</t>
  </si>
  <si>
    <t xml:space="preserve">CCDC88C</t>
  </si>
  <si>
    <t xml:space="preserve">Daple; Wnt signalling in neural development; variants cause congenital hydrocephalus</t>
  </si>
  <si>
    <t xml:space="preserve">CDC42BPB</t>
  </si>
  <si>
    <t xml:space="preserve">MRCK-beta kinase; variants cause a neurodevelopmental disorder</t>
  </si>
  <si>
    <t xml:space="preserve">EPHA4</t>
  </si>
  <si>
    <t xml:space="preserve">(iii) Immune &amp; inflammatory (incl. JAK-STAT); (iv) Neurodevelopment &amp; synaptic function</t>
  </si>
  <si>
    <t xml:space="preserve">Ephrin receptor; axon guidance (corticospinal tract) and synapse plasticity</t>
  </si>
  <si>
    <t xml:space="preserve">MBD5</t>
  </si>
  <si>
    <t xml:space="preserve">Methyl-CpG-binding protein; haploinsufficiency causes a neurodevelopmental disorder</t>
  </si>
  <si>
    <t xml:space="preserve">NTRK1</t>
  </si>
  <si>
    <t xml:space="preserve">TrkA, the NGF receptor; development and survival of sensory and sympathetic neurons</t>
  </si>
  <si>
    <t xml:space="preserve">PTBP1</t>
  </si>
  <si>
    <t xml:space="preserve">(ii) Metabolic regulation (incl. one-carbon); (iv) Neurodevelopment &amp; synaptic function</t>
  </si>
  <si>
    <t xml:space="preserve">Splicing regulator whose down-regulation drives neuronal differentiation</t>
  </si>
  <si>
    <t xml:space="preserve">RNF220</t>
  </si>
  <si>
    <t xml:space="preserve">E3 ubiquitin ligase in neural patterning; variants cause leukodystrophy</t>
  </si>
  <si>
    <t xml:space="preserve">ROBO1</t>
  </si>
  <si>
    <t xml:space="preserve">(i) Growth factor &amp; hormone signalling; (iii) Immune &amp; inflammatory (incl. JAK-STAT); (iv) Neurodevelopment &amp; synaptic function</t>
  </si>
  <si>
    <t xml:space="preserve">Slit receptor; axon guidance and midline crossing</t>
  </si>
  <si>
    <t xml:space="preserve">SEMA4C</t>
  </si>
  <si>
    <t xml:space="preserve">Semaphorin; axon guidance and neural development</t>
  </si>
  <si>
    <t xml:space="preserve">SEMA4F</t>
  </si>
  <si>
    <t xml:space="preserve">Semaphorin; axon guidance in the developing nervous system</t>
  </si>
  <si>
    <t xml:space="preserve">SEMA6B</t>
  </si>
  <si>
    <t xml:space="preserve">Semaphorin; axon guidance; variants cause neurodevelopmental epilepsy</t>
  </si>
  <si>
    <t xml:space="preserve">SORL1</t>
  </si>
  <si>
    <t xml:space="preserve">SorLA neuronal sorting receptor for APP; Alzheimer disease risk gene</t>
  </si>
  <si>
    <t xml:space="preserve">SOX6</t>
  </si>
  <si>
    <t xml:space="preserve">Transcription factor for cortical interneuron development</t>
  </si>
  <si>
    <t xml:space="preserve">H19</t>
  </si>
  <si>
    <t xml:space="preserve">Imprinted lncRNA regulating IGF2; fetal growth (no GO BP terms)</t>
  </si>
  <si>
    <t xml:space="preserve">MEST</t>
  </si>
  <si>
    <t xml:space="preserve">Imprinted gene (PEG1) regulating fetal growth</t>
  </si>
  <si>
    <t xml:space="preserve">MLST8</t>
  </si>
  <si>
    <t xml:space="preserve">Core subunit of mTORC1/mTORC2 growth-signalling complexes</t>
  </si>
  <si>
    <t xml:space="preserve">PLAGL1</t>
  </si>
  <si>
    <t xml:space="preserve">Imprinted gene (ZAC1) regulating fetal growth; linked to transient neonatal diabetes</t>
  </si>
  <si>
    <t xml:space="preserve">RARG</t>
  </si>
  <si>
    <t xml:space="preserve">Retinoic acid receptor gamma, a nuclear hormone receptor</t>
  </si>
  <si>
    <t xml:space="preserve">RPTOR</t>
  </si>
  <si>
    <t xml:space="preserve">Raptor, scaffold of the mTORC1 cell-growth complex</t>
  </si>
  <si>
    <t xml:space="preserve">SUFU</t>
  </si>
  <si>
    <t xml:space="preserve">Negative regulator of Hedgehog signalling in developmental growth</t>
  </si>
  <si>
    <t xml:space="preserve">WT1</t>
  </si>
  <si>
    <t xml:space="preserve">Transcription factor for kidney and gonad development; growth-related imprinted region</t>
  </si>
  <si>
    <t xml:space="preserve">AHRR</t>
  </si>
  <si>
    <t xml:space="preserve">Aryl hydrocarbon receptor repressor; acts in AhR signalling, which regulates immune responses</t>
  </si>
  <si>
    <t xml:space="preserve">JAK1</t>
  </si>
  <si>
    <t xml:space="preserve">(i) Growth factor &amp; hormone signalling; (iii) Immune &amp; inflammatory (incl. JAK-STAT)</t>
  </si>
  <si>
    <t xml:space="preserve">Janus kinase transducing cytokine (JAK-STAT) signalling</t>
  </si>
  <si>
    <t xml:space="preserve">SOCS6</t>
  </si>
  <si>
    <t xml:space="preserve">SOCS-family negative regulator of cytokine signalling</t>
  </si>
  <si>
    <t xml:space="preserve">TMEM119</t>
  </si>
  <si>
    <t xml:space="preserve">Microglia-specific marker; immune cells of the brain</t>
  </si>
  <si>
    <t xml:space="preserve">ATG13</t>
  </si>
  <si>
    <t xml:space="preserve">Core autophagy-initiation factor linking nutrient sensing (mTORC1-ULK1) to metabolism</t>
  </si>
  <si>
    <t xml:space="preserve">SLC1A5</t>
  </si>
  <si>
    <t xml:space="preserve">ASCT2 neutral amino-acid (glutamine) transporter</t>
  </si>
  <si>
    <t xml:space="preserve">Reconciliation: category counts before and after review</t>
  </si>
  <si>
    <t xml:space="preserve">Keyword-only count</t>
  </si>
  <si>
    <t xml:space="preserve">Final count (Table 1)</t>
  </si>
  <si>
    <t xml:space="preserve">Net change from S2 rows</t>
  </si>
  <si>
    <t xml:space="preserve">Difference (should be 0)</t>
  </si>
  <si>
    <t xml:space="preserve">Total</t>
  </si>
  <si>
    <t xml:space="preserve">Keyword-only counts: go_gene_classification.csv (notebook run). Final counts: reconciled_classification_FINAL.csv = manuscript Table 1. Blue = typed-in values.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</si>
</sst>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43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3" t="s">
        <v>4</v>
      </c>
    </row>
    <row r="8" customFormat="false" ht="26.25" hidden="false" customHeight="true" outlineLevel="0" collapsed="false">
      <c r="A8" s="4" t="s">
        <v>5</v>
      </c>
    </row>
    <row r="9" customFormat="false" ht="26.2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3"/>
    </row>
    <row r="12" customFormat="false" ht="26.25" hidden="false" customHeight="true" outlineLevel="0" collapsed="false">
      <c r="A12" s="4"/>
    </row>
    <row r="13" customFormat="false" ht="15" hidden="false" customHeight="true" outlineLevel="0" collapsed="false">
      <c r="A13" s="4"/>
    </row>
    <row r="14" customFormat="false" ht="15" hidden="false" customHeight="true" outlineLevel="0" collapsed="false">
      <c r="A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4"/>
    <col collapsed="false" customWidth="true" hidden="false" outlineLevel="0" max="3" min="3" style="1" width="40"/>
    <col collapsed="false" customWidth="true" hidden="false" outlineLevel="0" max="4" min="4" style="1" width="14"/>
  </cols>
  <sheetData>
    <row r="1" customFormat="false" ht="15.75" hidden="false" customHeight="true" outlineLevel="0" collapsed="false">
      <c r="A1" s="5" t="s">
        <v>7</v>
      </c>
    </row>
    <row r="2" customFormat="false" ht="60" hidden="false" customHeight="true" outlineLevel="0" collapsed="false">
      <c r="A2" s="6" t="s">
        <v>8</v>
      </c>
      <c r="B2" s="6"/>
      <c r="C2" s="6"/>
      <c r="D2" s="6"/>
    </row>
    <row r="4" customFormat="false" ht="26.25" hidden="false" customHeight="true" outlineLevel="0" collapsed="false">
      <c r="A4" s="7" t="s">
        <v>9</v>
      </c>
      <c r="B4" s="7" t="s">
        <v>10</v>
      </c>
      <c r="C4" s="7" t="s">
        <v>11</v>
      </c>
      <c r="D4" s="7" t="s">
        <v>12</v>
      </c>
    </row>
    <row r="5" customFormat="false" ht="15" hidden="false" customHeight="true" outlineLevel="0" collapsed="false">
      <c r="A5" s="8" t="n">
        <v>1</v>
      </c>
      <c r="B5" s="8" t="s">
        <v>13</v>
      </c>
      <c r="C5" s="8" t="s">
        <v>14</v>
      </c>
      <c r="D5" s="9" t="n">
        <f aca="false">COUNTIF($B$5:$B$74,B5)</f>
        <v>16</v>
      </c>
    </row>
    <row r="6" customFormat="false" ht="15" hidden="false" customHeight="true" outlineLevel="0" collapsed="false">
      <c r="A6" s="8" t="n">
        <v>1</v>
      </c>
      <c r="B6" s="8" t="s">
        <v>13</v>
      </c>
      <c r="C6" s="8" t="s">
        <v>15</v>
      </c>
    </row>
    <row r="7" customFormat="false" ht="15" hidden="false" customHeight="true" outlineLevel="0" collapsed="false">
      <c r="A7" s="8" t="n">
        <v>1</v>
      </c>
      <c r="B7" s="8" t="s">
        <v>13</v>
      </c>
      <c r="C7" s="8" t="s">
        <v>16</v>
      </c>
    </row>
    <row r="8" customFormat="false" ht="15" hidden="false" customHeight="true" outlineLevel="0" collapsed="false">
      <c r="A8" s="8" t="n">
        <v>1</v>
      </c>
      <c r="B8" s="8" t="s">
        <v>13</v>
      </c>
      <c r="C8" s="8" t="s">
        <v>17</v>
      </c>
    </row>
    <row r="9" customFormat="false" ht="15" hidden="false" customHeight="true" outlineLevel="0" collapsed="false">
      <c r="A9" s="8" t="n">
        <v>1</v>
      </c>
      <c r="B9" s="8" t="s">
        <v>13</v>
      </c>
      <c r="C9" s="8" t="s">
        <v>18</v>
      </c>
    </row>
    <row r="10" customFormat="false" ht="15" hidden="false" customHeight="true" outlineLevel="0" collapsed="false">
      <c r="A10" s="8" t="n">
        <v>1</v>
      </c>
      <c r="B10" s="8" t="s">
        <v>13</v>
      </c>
      <c r="C10" s="8" t="s">
        <v>19</v>
      </c>
    </row>
    <row r="11" customFormat="false" ht="15" hidden="false" customHeight="true" outlineLevel="0" collapsed="false">
      <c r="A11" s="8" t="n">
        <v>1</v>
      </c>
      <c r="B11" s="8" t="s">
        <v>13</v>
      </c>
      <c r="C11" s="8" t="s">
        <v>20</v>
      </c>
    </row>
    <row r="12" customFormat="false" ht="15" hidden="false" customHeight="true" outlineLevel="0" collapsed="false">
      <c r="A12" s="8" t="n">
        <v>1</v>
      </c>
      <c r="B12" s="8" t="s">
        <v>13</v>
      </c>
      <c r="C12" s="8" t="s">
        <v>21</v>
      </c>
    </row>
    <row r="13" customFormat="false" ht="15" hidden="false" customHeight="true" outlineLevel="0" collapsed="false">
      <c r="A13" s="8" t="n">
        <v>1</v>
      </c>
      <c r="B13" s="8" t="s">
        <v>13</v>
      </c>
      <c r="C13" s="8" t="s">
        <v>22</v>
      </c>
    </row>
    <row r="14" customFormat="false" ht="15" hidden="false" customHeight="true" outlineLevel="0" collapsed="false">
      <c r="A14" s="8" t="n">
        <v>1</v>
      </c>
      <c r="B14" s="8" t="s">
        <v>13</v>
      </c>
      <c r="C14" s="8" t="s">
        <v>23</v>
      </c>
    </row>
    <row r="15" customFormat="false" ht="15" hidden="false" customHeight="true" outlineLevel="0" collapsed="false">
      <c r="A15" s="8" t="n">
        <v>1</v>
      </c>
      <c r="B15" s="8" t="s">
        <v>13</v>
      </c>
      <c r="C15" s="8" t="s">
        <v>24</v>
      </c>
    </row>
    <row r="16" customFormat="false" ht="15" hidden="false" customHeight="true" outlineLevel="0" collapsed="false">
      <c r="A16" s="8" t="n">
        <v>1</v>
      </c>
      <c r="B16" s="8" t="s">
        <v>13</v>
      </c>
      <c r="C16" s="8" t="s">
        <v>25</v>
      </c>
    </row>
    <row r="17" customFormat="false" ht="15" hidden="false" customHeight="true" outlineLevel="0" collapsed="false">
      <c r="A17" s="8" t="n">
        <v>1</v>
      </c>
      <c r="B17" s="8" t="s">
        <v>13</v>
      </c>
      <c r="C17" s="8" t="s">
        <v>26</v>
      </c>
    </row>
    <row r="18" customFormat="false" ht="15" hidden="false" customHeight="true" outlineLevel="0" collapsed="false">
      <c r="A18" s="8" t="n">
        <v>1</v>
      </c>
      <c r="B18" s="8" t="s">
        <v>13</v>
      </c>
      <c r="C18" s="8" t="s">
        <v>27</v>
      </c>
    </row>
    <row r="19" customFormat="false" ht="15" hidden="false" customHeight="true" outlineLevel="0" collapsed="false">
      <c r="A19" s="8" t="n">
        <v>1</v>
      </c>
      <c r="B19" s="8" t="s">
        <v>13</v>
      </c>
      <c r="C19" s="8" t="s">
        <v>28</v>
      </c>
    </row>
    <row r="20" customFormat="false" ht="15" hidden="false" customHeight="true" outlineLevel="0" collapsed="false">
      <c r="A20" s="8" t="n">
        <v>1</v>
      </c>
      <c r="B20" s="8" t="s">
        <v>13</v>
      </c>
      <c r="C20" s="8" t="s">
        <v>29</v>
      </c>
    </row>
    <row r="21" customFormat="false" ht="15" hidden="false" customHeight="true" outlineLevel="0" collapsed="false">
      <c r="A21" s="8" t="n">
        <v>2</v>
      </c>
      <c r="B21" s="8" t="s">
        <v>30</v>
      </c>
      <c r="C21" s="8" t="s">
        <v>31</v>
      </c>
      <c r="D21" s="9" t="n">
        <f aca="false">COUNTIF($B$5:$B$74,B21)</f>
        <v>19</v>
      </c>
    </row>
    <row r="22" customFormat="false" ht="15" hidden="false" customHeight="true" outlineLevel="0" collapsed="false">
      <c r="A22" s="8" t="n">
        <v>2</v>
      </c>
      <c r="B22" s="8" t="s">
        <v>30</v>
      </c>
      <c r="C22" s="8" t="s">
        <v>32</v>
      </c>
    </row>
    <row r="23" customFormat="false" ht="15" hidden="false" customHeight="true" outlineLevel="0" collapsed="false">
      <c r="A23" s="8" t="n">
        <v>2</v>
      </c>
      <c r="B23" s="8" t="s">
        <v>30</v>
      </c>
      <c r="C23" s="8" t="s">
        <v>33</v>
      </c>
    </row>
    <row r="24" customFormat="false" ht="15" hidden="false" customHeight="true" outlineLevel="0" collapsed="false">
      <c r="A24" s="8" t="n">
        <v>2</v>
      </c>
      <c r="B24" s="8" t="s">
        <v>30</v>
      </c>
      <c r="C24" s="8" t="s">
        <v>34</v>
      </c>
    </row>
    <row r="25" customFormat="false" ht="15" hidden="false" customHeight="true" outlineLevel="0" collapsed="false">
      <c r="A25" s="8" t="n">
        <v>2</v>
      </c>
      <c r="B25" s="8" t="s">
        <v>30</v>
      </c>
      <c r="C25" s="8" t="s">
        <v>35</v>
      </c>
    </row>
    <row r="26" customFormat="false" ht="15" hidden="false" customHeight="true" outlineLevel="0" collapsed="false">
      <c r="A26" s="8" t="n">
        <v>2</v>
      </c>
      <c r="B26" s="8" t="s">
        <v>30</v>
      </c>
      <c r="C26" s="8" t="s">
        <v>36</v>
      </c>
    </row>
    <row r="27" customFormat="false" ht="15" hidden="false" customHeight="true" outlineLevel="0" collapsed="false">
      <c r="A27" s="8" t="n">
        <v>2</v>
      </c>
      <c r="B27" s="8" t="s">
        <v>30</v>
      </c>
      <c r="C27" s="8" t="s">
        <v>37</v>
      </c>
    </row>
    <row r="28" customFormat="false" ht="15" hidden="false" customHeight="true" outlineLevel="0" collapsed="false">
      <c r="A28" s="8" t="n">
        <v>2</v>
      </c>
      <c r="B28" s="8" t="s">
        <v>30</v>
      </c>
      <c r="C28" s="8" t="s">
        <v>38</v>
      </c>
    </row>
    <row r="29" customFormat="false" ht="15" hidden="false" customHeight="true" outlineLevel="0" collapsed="false">
      <c r="A29" s="8" t="n">
        <v>2</v>
      </c>
      <c r="B29" s="8" t="s">
        <v>30</v>
      </c>
      <c r="C29" s="8" t="s">
        <v>39</v>
      </c>
    </row>
    <row r="30" customFormat="false" ht="15" hidden="false" customHeight="true" outlineLevel="0" collapsed="false">
      <c r="A30" s="8" t="n">
        <v>2</v>
      </c>
      <c r="B30" s="8" t="s">
        <v>30</v>
      </c>
      <c r="C30" s="8" t="s">
        <v>40</v>
      </c>
    </row>
    <row r="31" customFormat="false" ht="15" hidden="false" customHeight="true" outlineLevel="0" collapsed="false">
      <c r="A31" s="8" t="n">
        <v>2</v>
      </c>
      <c r="B31" s="8" t="s">
        <v>30</v>
      </c>
      <c r="C31" s="8" t="s">
        <v>41</v>
      </c>
    </row>
    <row r="32" customFormat="false" ht="15" hidden="false" customHeight="true" outlineLevel="0" collapsed="false">
      <c r="A32" s="8" t="n">
        <v>2</v>
      </c>
      <c r="B32" s="8" t="s">
        <v>30</v>
      </c>
      <c r="C32" s="8" t="s">
        <v>42</v>
      </c>
    </row>
    <row r="33" customFormat="false" ht="15" hidden="false" customHeight="true" outlineLevel="0" collapsed="false">
      <c r="A33" s="8" t="n">
        <v>2</v>
      </c>
      <c r="B33" s="8" t="s">
        <v>30</v>
      </c>
      <c r="C33" s="8" t="s">
        <v>43</v>
      </c>
    </row>
    <row r="34" customFormat="false" ht="15" hidden="false" customHeight="true" outlineLevel="0" collapsed="false">
      <c r="A34" s="8" t="n">
        <v>2</v>
      </c>
      <c r="B34" s="8" t="s">
        <v>30</v>
      </c>
      <c r="C34" s="8" t="s">
        <v>44</v>
      </c>
    </row>
    <row r="35" customFormat="false" ht="15" hidden="false" customHeight="true" outlineLevel="0" collapsed="false">
      <c r="A35" s="8" t="n">
        <v>2</v>
      </c>
      <c r="B35" s="8" t="s">
        <v>30</v>
      </c>
      <c r="C35" s="8" t="s">
        <v>45</v>
      </c>
    </row>
    <row r="36" customFormat="false" ht="15" hidden="false" customHeight="true" outlineLevel="0" collapsed="false">
      <c r="A36" s="8" t="n">
        <v>2</v>
      </c>
      <c r="B36" s="8" t="s">
        <v>30</v>
      </c>
      <c r="C36" s="8" t="s">
        <v>46</v>
      </c>
    </row>
    <row r="37" customFormat="false" ht="15" hidden="false" customHeight="true" outlineLevel="0" collapsed="false">
      <c r="A37" s="8" t="n">
        <v>2</v>
      </c>
      <c r="B37" s="8" t="s">
        <v>30</v>
      </c>
      <c r="C37" s="8" t="s">
        <v>47</v>
      </c>
    </row>
    <row r="38" customFormat="false" ht="15" hidden="false" customHeight="true" outlineLevel="0" collapsed="false">
      <c r="A38" s="8" t="n">
        <v>2</v>
      </c>
      <c r="B38" s="8" t="s">
        <v>30</v>
      </c>
      <c r="C38" s="8" t="s">
        <v>48</v>
      </c>
    </row>
    <row r="39" customFormat="false" ht="15" hidden="false" customHeight="true" outlineLevel="0" collapsed="false">
      <c r="A39" s="8" t="n">
        <v>2</v>
      </c>
      <c r="B39" s="8" t="s">
        <v>30</v>
      </c>
      <c r="C39" s="8" t="s">
        <v>49</v>
      </c>
    </row>
    <row r="40" customFormat="false" ht="15" hidden="false" customHeight="true" outlineLevel="0" collapsed="false">
      <c r="A40" s="8" t="n">
        <v>3</v>
      </c>
      <c r="B40" s="8" t="s">
        <v>50</v>
      </c>
      <c r="C40" s="8" t="s">
        <v>51</v>
      </c>
      <c r="D40" s="9" t="n">
        <f aca="false">COUNTIF($B$5:$B$74,B40)</f>
        <v>17</v>
      </c>
    </row>
    <row r="41" customFormat="false" ht="15" hidden="false" customHeight="true" outlineLevel="0" collapsed="false">
      <c r="A41" s="8" t="n">
        <v>3</v>
      </c>
      <c r="B41" s="8" t="s">
        <v>50</v>
      </c>
      <c r="C41" s="8" t="s">
        <v>52</v>
      </c>
    </row>
    <row r="42" customFormat="false" ht="15" hidden="false" customHeight="true" outlineLevel="0" collapsed="false">
      <c r="A42" s="8" t="n">
        <v>3</v>
      </c>
      <c r="B42" s="8" t="s">
        <v>50</v>
      </c>
      <c r="C42" s="8" t="s">
        <v>53</v>
      </c>
    </row>
    <row r="43" customFormat="false" ht="15" hidden="false" customHeight="true" outlineLevel="0" collapsed="false">
      <c r="A43" s="8" t="n">
        <v>3</v>
      </c>
      <c r="B43" s="8" t="s">
        <v>50</v>
      </c>
      <c r="C43" s="8" t="s">
        <v>54</v>
      </c>
    </row>
    <row r="44" customFormat="false" ht="15" hidden="false" customHeight="true" outlineLevel="0" collapsed="false">
      <c r="A44" s="8" t="n">
        <v>3</v>
      </c>
      <c r="B44" s="8" t="s">
        <v>50</v>
      </c>
      <c r="C44" s="8" t="s">
        <v>55</v>
      </c>
    </row>
    <row r="45" customFormat="false" ht="15" hidden="false" customHeight="true" outlineLevel="0" collapsed="false">
      <c r="A45" s="8" t="n">
        <v>3</v>
      </c>
      <c r="B45" s="8" t="s">
        <v>50</v>
      </c>
      <c r="C45" s="8" t="s">
        <v>56</v>
      </c>
    </row>
    <row r="46" customFormat="false" ht="15" hidden="false" customHeight="true" outlineLevel="0" collapsed="false">
      <c r="A46" s="8" t="n">
        <v>3</v>
      </c>
      <c r="B46" s="8" t="s">
        <v>50</v>
      </c>
      <c r="C46" s="8" t="s">
        <v>57</v>
      </c>
    </row>
    <row r="47" customFormat="false" ht="15" hidden="false" customHeight="true" outlineLevel="0" collapsed="false">
      <c r="A47" s="8" t="n">
        <v>3</v>
      </c>
      <c r="B47" s="8" t="s">
        <v>50</v>
      </c>
      <c r="C47" s="8" t="s">
        <v>58</v>
      </c>
    </row>
    <row r="48" customFormat="false" ht="15" hidden="false" customHeight="true" outlineLevel="0" collapsed="false">
      <c r="A48" s="8" t="n">
        <v>3</v>
      </c>
      <c r="B48" s="8" t="s">
        <v>50</v>
      </c>
      <c r="C48" s="8" t="s">
        <v>59</v>
      </c>
    </row>
    <row r="49" customFormat="false" ht="15" hidden="false" customHeight="true" outlineLevel="0" collapsed="false">
      <c r="A49" s="8" t="n">
        <v>3</v>
      </c>
      <c r="B49" s="8" t="s">
        <v>50</v>
      </c>
      <c r="C49" s="8" t="s">
        <v>60</v>
      </c>
    </row>
    <row r="50" customFormat="false" ht="15" hidden="false" customHeight="true" outlineLevel="0" collapsed="false">
      <c r="A50" s="8" t="n">
        <v>3</v>
      </c>
      <c r="B50" s="8" t="s">
        <v>50</v>
      </c>
      <c r="C50" s="8" t="s">
        <v>61</v>
      </c>
    </row>
    <row r="51" customFormat="false" ht="15" hidden="false" customHeight="true" outlineLevel="0" collapsed="false">
      <c r="A51" s="8" t="n">
        <v>3</v>
      </c>
      <c r="B51" s="8" t="s">
        <v>50</v>
      </c>
      <c r="C51" s="8" t="s">
        <v>62</v>
      </c>
    </row>
    <row r="52" customFormat="false" ht="15" hidden="false" customHeight="true" outlineLevel="0" collapsed="false">
      <c r="A52" s="8" t="n">
        <v>3</v>
      </c>
      <c r="B52" s="8" t="s">
        <v>50</v>
      </c>
      <c r="C52" s="8" t="s">
        <v>63</v>
      </c>
    </row>
    <row r="53" customFormat="false" ht="15" hidden="false" customHeight="true" outlineLevel="0" collapsed="false">
      <c r="A53" s="8" t="n">
        <v>3</v>
      </c>
      <c r="B53" s="8" t="s">
        <v>50</v>
      </c>
      <c r="C53" s="8" t="s">
        <v>64</v>
      </c>
    </row>
    <row r="54" customFormat="false" ht="15" hidden="false" customHeight="true" outlineLevel="0" collapsed="false">
      <c r="A54" s="8" t="n">
        <v>3</v>
      </c>
      <c r="B54" s="8" t="s">
        <v>50</v>
      </c>
      <c r="C54" s="8" t="s">
        <v>65</v>
      </c>
    </row>
    <row r="55" customFormat="false" ht="15" hidden="false" customHeight="true" outlineLevel="0" collapsed="false">
      <c r="A55" s="8" t="n">
        <v>3</v>
      </c>
      <c r="B55" s="8" t="s">
        <v>50</v>
      </c>
      <c r="C55" s="8" t="s">
        <v>66</v>
      </c>
    </row>
    <row r="56" customFormat="false" ht="15" hidden="false" customHeight="true" outlineLevel="0" collapsed="false">
      <c r="A56" s="8" t="n">
        <v>3</v>
      </c>
      <c r="B56" s="8" t="s">
        <v>50</v>
      </c>
      <c r="C56" s="8" t="s">
        <v>67</v>
      </c>
    </row>
    <row r="57" customFormat="false" ht="15" hidden="false" customHeight="true" outlineLevel="0" collapsed="false">
      <c r="A57" s="8" t="n">
        <v>4</v>
      </c>
      <c r="B57" s="8" t="s">
        <v>68</v>
      </c>
      <c r="C57" s="8" t="s">
        <v>69</v>
      </c>
      <c r="D57" s="9" t="n">
        <f aca="false">COUNTIF($B$5:$B$74,B57)</f>
        <v>18</v>
      </c>
    </row>
    <row r="58" customFormat="false" ht="15" hidden="false" customHeight="true" outlineLevel="0" collapsed="false">
      <c r="A58" s="8" t="n">
        <v>4</v>
      </c>
      <c r="B58" s="8" t="s">
        <v>68</v>
      </c>
      <c r="C58" s="8" t="s">
        <v>70</v>
      </c>
    </row>
    <row r="59" customFormat="false" ht="15" hidden="false" customHeight="true" outlineLevel="0" collapsed="false">
      <c r="A59" s="8" t="n">
        <v>4</v>
      </c>
      <c r="B59" s="8" t="s">
        <v>68</v>
      </c>
      <c r="C59" s="8" t="s">
        <v>71</v>
      </c>
    </row>
    <row r="60" customFormat="false" ht="15" hidden="false" customHeight="true" outlineLevel="0" collapsed="false">
      <c r="A60" s="8" t="n">
        <v>4</v>
      </c>
      <c r="B60" s="8" t="s">
        <v>68</v>
      </c>
      <c r="C60" s="8" t="s">
        <v>72</v>
      </c>
    </row>
    <row r="61" customFormat="false" ht="15" hidden="false" customHeight="true" outlineLevel="0" collapsed="false">
      <c r="A61" s="8" t="n">
        <v>4</v>
      </c>
      <c r="B61" s="8" t="s">
        <v>68</v>
      </c>
      <c r="C61" s="8" t="s">
        <v>73</v>
      </c>
    </row>
    <row r="62" customFormat="false" ht="15" hidden="false" customHeight="true" outlineLevel="0" collapsed="false">
      <c r="A62" s="8" t="n">
        <v>4</v>
      </c>
      <c r="B62" s="8" t="s">
        <v>68</v>
      </c>
      <c r="C62" s="8" t="s">
        <v>74</v>
      </c>
    </row>
    <row r="63" customFormat="false" ht="15" hidden="false" customHeight="true" outlineLevel="0" collapsed="false">
      <c r="A63" s="8" t="n">
        <v>4</v>
      </c>
      <c r="B63" s="8" t="s">
        <v>68</v>
      </c>
      <c r="C63" s="8" t="s">
        <v>75</v>
      </c>
    </row>
    <row r="64" customFormat="false" ht="15" hidden="false" customHeight="true" outlineLevel="0" collapsed="false">
      <c r="A64" s="8" t="n">
        <v>4</v>
      </c>
      <c r="B64" s="8" t="s">
        <v>68</v>
      </c>
      <c r="C64" s="8" t="s">
        <v>76</v>
      </c>
    </row>
    <row r="65" customFormat="false" ht="15" hidden="false" customHeight="true" outlineLevel="0" collapsed="false">
      <c r="A65" s="8" t="n">
        <v>4</v>
      </c>
      <c r="B65" s="8" t="s">
        <v>68</v>
      </c>
      <c r="C65" s="8" t="s">
        <v>77</v>
      </c>
    </row>
    <row r="66" customFormat="false" ht="15" hidden="false" customHeight="true" outlineLevel="0" collapsed="false">
      <c r="A66" s="8" t="n">
        <v>4</v>
      </c>
      <c r="B66" s="8" t="s">
        <v>68</v>
      </c>
      <c r="C66" s="8" t="s">
        <v>78</v>
      </c>
    </row>
    <row r="67" customFormat="false" ht="15" hidden="false" customHeight="true" outlineLevel="0" collapsed="false">
      <c r="A67" s="8" t="n">
        <v>4</v>
      </c>
      <c r="B67" s="8" t="s">
        <v>68</v>
      </c>
      <c r="C67" s="8" t="s">
        <v>79</v>
      </c>
    </row>
    <row r="68" customFormat="false" ht="15" hidden="false" customHeight="true" outlineLevel="0" collapsed="false">
      <c r="A68" s="8" t="n">
        <v>4</v>
      </c>
      <c r="B68" s="8" t="s">
        <v>68</v>
      </c>
      <c r="C68" s="8" t="s">
        <v>80</v>
      </c>
    </row>
    <row r="69" customFormat="false" ht="15" hidden="false" customHeight="true" outlineLevel="0" collapsed="false">
      <c r="A69" s="8" t="n">
        <v>4</v>
      </c>
      <c r="B69" s="8" t="s">
        <v>68</v>
      </c>
      <c r="C69" s="8" t="s">
        <v>81</v>
      </c>
    </row>
    <row r="70" customFormat="false" ht="15" hidden="false" customHeight="true" outlineLevel="0" collapsed="false">
      <c r="A70" s="8" t="n">
        <v>4</v>
      </c>
      <c r="B70" s="8" t="s">
        <v>68</v>
      </c>
      <c r="C70" s="8" t="s">
        <v>82</v>
      </c>
    </row>
    <row r="71" customFormat="false" ht="15" hidden="false" customHeight="true" outlineLevel="0" collapsed="false">
      <c r="A71" s="8" t="n">
        <v>4</v>
      </c>
      <c r="B71" s="8" t="s">
        <v>68</v>
      </c>
      <c r="C71" s="8" t="s">
        <v>83</v>
      </c>
    </row>
    <row r="72" customFormat="false" ht="15" hidden="false" customHeight="true" outlineLevel="0" collapsed="false">
      <c r="A72" s="8" t="n">
        <v>4</v>
      </c>
      <c r="B72" s="8" t="s">
        <v>68</v>
      </c>
      <c r="C72" s="8" t="s">
        <v>84</v>
      </c>
    </row>
    <row r="73" customFormat="false" ht="15" hidden="false" customHeight="true" outlineLevel="0" collapsed="false">
      <c r="A73" s="8" t="n">
        <v>4</v>
      </c>
      <c r="B73" s="8" t="s">
        <v>68</v>
      </c>
      <c r="C73" s="8" t="s">
        <v>85</v>
      </c>
    </row>
    <row r="74" customFormat="false" ht="15" hidden="false" customHeight="true" outlineLevel="0" collapsed="false">
      <c r="A74" s="8" t="n">
        <v>4</v>
      </c>
      <c r="B74" s="8" t="s">
        <v>68</v>
      </c>
      <c r="C74" s="8" t="s">
        <v>86</v>
      </c>
    </row>
    <row r="75" customFormat="false" ht="15" hidden="false" customHeight="true" outlineLevel="0" collapsed="false">
      <c r="A75" s="8" t="n">
        <v>5</v>
      </c>
      <c r="B75" s="8" t="s">
        <v>87</v>
      </c>
      <c r="C75" s="8" t="s">
        <v>88</v>
      </c>
      <c r="D75" s="8"/>
    </row>
    <row r="77" customFormat="false" ht="15" hidden="false" customHeight="true" outlineLevel="0" collapsed="false">
      <c r="B77" s="10" t="s">
        <v>89</v>
      </c>
      <c r="D77" s="10" t="n">
        <f aca="false">COUNTA(C5:C74)</f>
        <v>70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48"/>
    <col collapsed="false" customWidth="true" hidden="false" outlineLevel="0" max="5" min="5" style="0" width="36"/>
    <col collapsed="false" customWidth="true" hidden="false" outlineLevel="0" max="6" min="6" style="0" width="62"/>
  </cols>
  <sheetData>
    <row r="1" customFormat="false" ht="16.15" hidden="false" customHeight="false" outlineLevel="0" collapsed="false">
      <c r="A1" s="11" t="s">
        <v>90</v>
      </c>
    </row>
    <row r="2" customFormat="false" ht="39.75" hidden="false" customHeight="true" outlineLevel="0" collapsed="false">
      <c r="A2" s="6" t="s">
        <v>91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92</v>
      </c>
      <c r="B4" s="7" t="s">
        <v>93</v>
      </c>
      <c r="C4" s="7" t="s">
        <v>94</v>
      </c>
      <c r="D4" s="7" t="s">
        <v>95</v>
      </c>
      <c r="E4" s="7" t="s">
        <v>96</v>
      </c>
      <c r="F4" s="7" t="s">
        <v>97</v>
      </c>
    </row>
    <row r="5" customFormat="false" ht="26.85" hidden="false" customHeight="false" outlineLevel="0" collapsed="false">
      <c r="A5" s="12" t="n">
        <v>1</v>
      </c>
      <c r="B5" s="12" t="s">
        <v>98</v>
      </c>
      <c r="C5" s="12" t="s">
        <v>87</v>
      </c>
      <c r="D5" s="12"/>
      <c r="E5" s="12" t="s">
        <v>68</v>
      </c>
      <c r="F5" s="12" t="s">
        <v>99</v>
      </c>
    </row>
    <row r="6" customFormat="false" ht="26.85" hidden="false" customHeight="false" outlineLevel="0" collapsed="false">
      <c r="A6" s="12" t="n">
        <v>2</v>
      </c>
      <c r="B6" s="12" t="s">
        <v>100</v>
      </c>
      <c r="C6" s="12" t="s">
        <v>13</v>
      </c>
      <c r="D6" s="12" t="s">
        <v>101</v>
      </c>
      <c r="E6" s="12" t="s">
        <v>68</v>
      </c>
      <c r="F6" s="12" t="s">
        <v>102</v>
      </c>
    </row>
    <row r="7" customFormat="false" ht="26.85" hidden="false" customHeight="false" outlineLevel="0" collapsed="false">
      <c r="A7" s="12" t="n">
        <v>3</v>
      </c>
      <c r="B7" s="12" t="s">
        <v>103</v>
      </c>
      <c r="C7" s="12" t="s">
        <v>13</v>
      </c>
      <c r="D7" s="12" t="s">
        <v>101</v>
      </c>
      <c r="E7" s="12" t="s">
        <v>68</v>
      </c>
      <c r="F7" s="12" t="s">
        <v>104</v>
      </c>
    </row>
    <row r="8" customFormat="false" ht="26.85" hidden="false" customHeight="false" outlineLevel="0" collapsed="false">
      <c r="A8" s="12" t="n">
        <v>4</v>
      </c>
      <c r="B8" s="12" t="s">
        <v>105</v>
      </c>
      <c r="C8" s="12" t="s">
        <v>87</v>
      </c>
      <c r="D8" s="12"/>
      <c r="E8" s="12" t="s">
        <v>68</v>
      </c>
      <c r="F8" s="12" t="s">
        <v>106</v>
      </c>
    </row>
    <row r="9" customFormat="false" ht="26.85" hidden="false" customHeight="false" outlineLevel="0" collapsed="false">
      <c r="A9" s="12" t="n">
        <v>5</v>
      </c>
      <c r="B9" s="12" t="s">
        <v>107</v>
      </c>
      <c r="C9" s="12" t="s">
        <v>87</v>
      </c>
      <c r="D9" s="12"/>
      <c r="E9" s="12" t="s">
        <v>68</v>
      </c>
      <c r="F9" s="12" t="s">
        <v>108</v>
      </c>
    </row>
    <row r="10" customFormat="false" ht="26.85" hidden="false" customHeight="false" outlineLevel="0" collapsed="false">
      <c r="A10" s="12" t="n">
        <v>6</v>
      </c>
      <c r="B10" s="12" t="s">
        <v>109</v>
      </c>
      <c r="C10" s="12" t="s">
        <v>50</v>
      </c>
      <c r="D10" s="12" t="s">
        <v>110</v>
      </c>
      <c r="E10" s="12" t="s">
        <v>68</v>
      </c>
      <c r="F10" s="12" t="s">
        <v>111</v>
      </c>
    </row>
    <row r="11" customFormat="false" ht="26.85" hidden="false" customHeight="false" outlineLevel="0" collapsed="false">
      <c r="A11" s="12" t="n">
        <v>7</v>
      </c>
      <c r="B11" s="12" t="s">
        <v>112</v>
      </c>
      <c r="C11" s="12" t="s">
        <v>13</v>
      </c>
      <c r="D11" s="12" t="s">
        <v>101</v>
      </c>
      <c r="E11" s="12" t="s">
        <v>68</v>
      </c>
      <c r="F11" s="12" t="s">
        <v>113</v>
      </c>
    </row>
    <row r="12" customFormat="false" ht="26.85" hidden="false" customHeight="false" outlineLevel="0" collapsed="false">
      <c r="A12" s="12" t="n">
        <v>8</v>
      </c>
      <c r="B12" s="12" t="s">
        <v>114</v>
      </c>
      <c r="C12" s="12" t="s">
        <v>13</v>
      </c>
      <c r="D12" s="12" t="s">
        <v>101</v>
      </c>
      <c r="E12" s="12" t="s">
        <v>68</v>
      </c>
      <c r="F12" s="12" t="s">
        <v>115</v>
      </c>
    </row>
    <row r="13" customFormat="false" ht="26.85" hidden="false" customHeight="false" outlineLevel="0" collapsed="false">
      <c r="A13" s="12" t="n">
        <v>9</v>
      </c>
      <c r="B13" s="12" t="s">
        <v>116</v>
      </c>
      <c r="C13" s="12" t="s">
        <v>30</v>
      </c>
      <c r="D13" s="12" t="s">
        <v>117</v>
      </c>
      <c r="E13" s="12" t="s">
        <v>68</v>
      </c>
      <c r="F13" s="12" t="s">
        <v>118</v>
      </c>
    </row>
    <row r="14" customFormat="false" ht="26.85" hidden="false" customHeight="false" outlineLevel="0" collapsed="false">
      <c r="A14" s="12" t="n">
        <v>10</v>
      </c>
      <c r="B14" s="12" t="s">
        <v>119</v>
      </c>
      <c r="C14" s="12" t="s">
        <v>50</v>
      </c>
      <c r="D14" s="12" t="s">
        <v>110</v>
      </c>
      <c r="E14" s="12" t="s">
        <v>68</v>
      </c>
      <c r="F14" s="12" t="s">
        <v>120</v>
      </c>
    </row>
    <row r="15" customFormat="false" ht="39.55" hidden="false" customHeight="false" outlineLevel="0" collapsed="false">
      <c r="A15" s="12" t="n">
        <v>11</v>
      </c>
      <c r="B15" s="12" t="s">
        <v>121</v>
      </c>
      <c r="C15" s="12" t="s">
        <v>13</v>
      </c>
      <c r="D15" s="12" t="s">
        <v>122</v>
      </c>
      <c r="E15" s="12" t="s">
        <v>68</v>
      </c>
      <c r="F15" s="12" t="s">
        <v>123</v>
      </c>
    </row>
    <row r="16" customFormat="false" ht="26.85" hidden="false" customHeight="false" outlineLevel="0" collapsed="false">
      <c r="A16" s="12" t="n">
        <v>12</v>
      </c>
      <c r="B16" s="12" t="s">
        <v>124</v>
      </c>
      <c r="C16" s="12" t="s">
        <v>50</v>
      </c>
      <c r="D16" s="12" t="s">
        <v>110</v>
      </c>
      <c r="E16" s="12" t="s">
        <v>68</v>
      </c>
      <c r="F16" s="12" t="s">
        <v>125</v>
      </c>
    </row>
    <row r="17" customFormat="false" ht="26.85" hidden="false" customHeight="false" outlineLevel="0" collapsed="false">
      <c r="A17" s="12" t="n">
        <v>13</v>
      </c>
      <c r="B17" s="12" t="s">
        <v>126</v>
      </c>
      <c r="C17" s="12" t="s">
        <v>50</v>
      </c>
      <c r="D17" s="12" t="s">
        <v>110</v>
      </c>
      <c r="E17" s="12" t="s">
        <v>68</v>
      </c>
      <c r="F17" s="12" t="s">
        <v>127</v>
      </c>
    </row>
    <row r="18" customFormat="false" ht="26.85" hidden="false" customHeight="false" outlineLevel="0" collapsed="false">
      <c r="A18" s="12" t="n">
        <v>14</v>
      </c>
      <c r="B18" s="12" t="s">
        <v>128</v>
      </c>
      <c r="C18" s="12" t="s">
        <v>50</v>
      </c>
      <c r="D18" s="12" t="s">
        <v>110</v>
      </c>
      <c r="E18" s="12" t="s">
        <v>68</v>
      </c>
      <c r="F18" s="12" t="s">
        <v>129</v>
      </c>
    </row>
    <row r="19" customFormat="false" ht="39.55" hidden="false" customHeight="false" outlineLevel="0" collapsed="false">
      <c r="A19" s="12" t="n">
        <v>15</v>
      </c>
      <c r="B19" s="12" t="s">
        <v>130</v>
      </c>
      <c r="C19" s="12" t="s">
        <v>13</v>
      </c>
      <c r="D19" s="12" t="s">
        <v>122</v>
      </c>
      <c r="E19" s="12" t="s">
        <v>68</v>
      </c>
      <c r="F19" s="12" t="s">
        <v>131</v>
      </c>
    </row>
    <row r="20" customFormat="false" ht="26.85" hidden="false" customHeight="false" outlineLevel="0" collapsed="false">
      <c r="A20" s="12" t="n">
        <v>16</v>
      </c>
      <c r="B20" s="12" t="s">
        <v>132</v>
      </c>
      <c r="C20" s="12" t="s">
        <v>13</v>
      </c>
      <c r="D20" s="12" t="s">
        <v>101</v>
      </c>
      <c r="E20" s="12" t="s">
        <v>68</v>
      </c>
      <c r="F20" s="12" t="s">
        <v>133</v>
      </c>
    </row>
    <row r="21" customFormat="false" ht="15" hidden="false" customHeight="false" outlineLevel="0" collapsed="false">
      <c r="A21" s="12" t="n">
        <v>17</v>
      </c>
      <c r="B21" s="12" t="s">
        <v>134</v>
      </c>
      <c r="C21" s="12" t="s">
        <v>87</v>
      </c>
      <c r="D21" s="12"/>
      <c r="E21" s="12" t="s">
        <v>13</v>
      </c>
      <c r="F21" s="12" t="s">
        <v>135</v>
      </c>
    </row>
    <row r="22" customFormat="false" ht="26.85" hidden="false" customHeight="false" outlineLevel="0" collapsed="false">
      <c r="A22" s="12" t="n">
        <v>18</v>
      </c>
      <c r="B22" s="12" t="s">
        <v>136</v>
      </c>
      <c r="C22" s="12" t="s">
        <v>50</v>
      </c>
      <c r="D22" s="12" t="s">
        <v>110</v>
      </c>
      <c r="E22" s="12" t="s">
        <v>13</v>
      </c>
      <c r="F22" s="12" t="s">
        <v>137</v>
      </c>
    </row>
    <row r="23" customFormat="false" ht="15" hidden="false" customHeight="false" outlineLevel="0" collapsed="false">
      <c r="A23" s="12" t="n">
        <v>19</v>
      </c>
      <c r="B23" s="12" t="s">
        <v>138</v>
      </c>
      <c r="C23" s="12" t="s">
        <v>87</v>
      </c>
      <c r="D23" s="12"/>
      <c r="E23" s="12" t="s">
        <v>13</v>
      </c>
      <c r="F23" s="12" t="s">
        <v>139</v>
      </c>
    </row>
    <row r="24" customFormat="false" ht="26.85" hidden="false" customHeight="false" outlineLevel="0" collapsed="false">
      <c r="A24" s="12" t="n">
        <v>20</v>
      </c>
      <c r="B24" s="12" t="s">
        <v>140</v>
      </c>
      <c r="C24" s="12" t="s">
        <v>50</v>
      </c>
      <c r="D24" s="12" t="s">
        <v>50</v>
      </c>
      <c r="E24" s="12" t="s">
        <v>13</v>
      </c>
      <c r="F24" s="12" t="s">
        <v>141</v>
      </c>
    </row>
    <row r="25" customFormat="false" ht="15" hidden="false" customHeight="false" outlineLevel="0" collapsed="false">
      <c r="A25" s="12" t="n">
        <v>21</v>
      </c>
      <c r="B25" s="12" t="s">
        <v>142</v>
      </c>
      <c r="C25" s="12" t="s">
        <v>87</v>
      </c>
      <c r="D25" s="12"/>
      <c r="E25" s="12" t="s">
        <v>13</v>
      </c>
      <c r="F25" s="12" t="s">
        <v>143</v>
      </c>
    </row>
    <row r="26" customFormat="false" ht="15" hidden="false" customHeight="false" outlineLevel="0" collapsed="false">
      <c r="A26" s="12" t="n">
        <v>22</v>
      </c>
      <c r="B26" s="12" t="s">
        <v>144</v>
      </c>
      <c r="C26" s="12" t="s">
        <v>87</v>
      </c>
      <c r="D26" s="12"/>
      <c r="E26" s="12" t="s">
        <v>13</v>
      </c>
      <c r="F26" s="12" t="s">
        <v>145</v>
      </c>
    </row>
    <row r="27" customFormat="false" ht="26.85" hidden="false" customHeight="false" outlineLevel="0" collapsed="false">
      <c r="A27" s="12" t="n">
        <v>23</v>
      </c>
      <c r="B27" s="12" t="s">
        <v>146</v>
      </c>
      <c r="C27" s="12" t="s">
        <v>87</v>
      </c>
      <c r="D27" s="12"/>
      <c r="E27" s="12" t="s">
        <v>13</v>
      </c>
      <c r="F27" s="12" t="s">
        <v>147</v>
      </c>
    </row>
    <row r="28" customFormat="false" ht="26.85" hidden="false" customHeight="false" outlineLevel="0" collapsed="false">
      <c r="A28" s="12" t="n">
        <v>24</v>
      </c>
      <c r="B28" s="12" t="s">
        <v>148</v>
      </c>
      <c r="C28" s="12" t="s">
        <v>30</v>
      </c>
      <c r="D28" s="12" t="s">
        <v>30</v>
      </c>
      <c r="E28" s="12" t="s">
        <v>13</v>
      </c>
      <c r="F28" s="12" t="s">
        <v>149</v>
      </c>
    </row>
    <row r="29" customFormat="false" ht="26.85" hidden="false" customHeight="false" outlineLevel="0" collapsed="false">
      <c r="A29" s="12" t="n">
        <v>25</v>
      </c>
      <c r="B29" s="12" t="s">
        <v>150</v>
      </c>
      <c r="C29" s="12" t="s">
        <v>30</v>
      </c>
      <c r="D29" s="12" t="s">
        <v>30</v>
      </c>
      <c r="E29" s="12" t="s">
        <v>50</v>
      </c>
      <c r="F29" s="12" t="s">
        <v>151</v>
      </c>
    </row>
    <row r="30" customFormat="false" ht="26.85" hidden="false" customHeight="false" outlineLevel="0" collapsed="false">
      <c r="A30" s="12" t="n">
        <v>26</v>
      </c>
      <c r="B30" s="12" t="s">
        <v>152</v>
      </c>
      <c r="C30" s="12" t="s">
        <v>13</v>
      </c>
      <c r="D30" s="12" t="s">
        <v>153</v>
      </c>
      <c r="E30" s="12" t="s">
        <v>50</v>
      </c>
      <c r="F30" s="12" t="s">
        <v>154</v>
      </c>
    </row>
    <row r="31" customFormat="false" ht="26.85" hidden="false" customHeight="false" outlineLevel="0" collapsed="false">
      <c r="A31" s="12" t="n">
        <v>27</v>
      </c>
      <c r="B31" s="12" t="s">
        <v>155</v>
      </c>
      <c r="C31" s="12" t="s">
        <v>13</v>
      </c>
      <c r="D31" s="12" t="s">
        <v>153</v>
      </c>
      <c r="E31" s="12" t="s">
        <v>50</v>
      </c>
      <c r="F31" s="12" t="s">
        <v>156</v>
      </c>
    </row>
    <row r="32" customFormat="false" ht="26.85" hidden="false" customHeight="false" outlineLevel="0" collapsed="false">
      <c r="A32" s="12" t="n">
        <v>28</v>
      </c>
      <c r="B32" s="12" t="s">
        <v>157</v>
      </c>
      <c r="C32" s="12" t="s">
        <v>87</v>
      </c>
      <c r="D32" s="12"/>
      <c r="E32" s="12" t="s">
        <v>50</v>
      </c>
      <c r="F32" s="12" t="s">
        <v>158</v>
      </c>
    </row>
    <row r="33" customFormat="false" ht="26.85" hidden="false" customHeight="false" outlineLevel="0" collapsed="false">
      <c r="A33" s="12" t="n">
        <v>29</v>
      </c>
      <c r="B33" s="12" t="s">
        <v>159</v>
      </c>
      <c r="C33" s="12" t="s">
        <v>87</v>
      </c>
      <c r="D33" s="12"/>
      <c r="E33" s="12" t="s">
        <v>30</v>
      </c>
      <c r="F33" s="12" t="s">
        <v>160</v>
      </c>
    </row>
    <row r="34" customFormat="false" ht="26.85" hidden="false" customHeight="false" outlineLevel="0" collapsed="false">
      <c r="A34" s="12" t="n">
        <v>30</v>
      </c>
      <c r="B34" s="12" t="s">
        <v>161</v>
      </c>
      <c r="C34" s="12" t="s">
        <v>87</v>
      </c>
      <c r="D34" s="12"/>
      <c r="E34" s="12" t="s">
        <v>30</v>
      </c>
      <c r="F34" s="12" t="s">
        <v>162</v>
      </c>
    </row>
    <row r="37" customFormat="false" ht="15" hidden="false" customHeight="false" outlineLevel="0" collapsed="false">
      <c r="A37" s="13" t="s">
        <v>163</v>
      </c>
    </row>
    <row r="38" customFormat="false" ht="15" hidden="false" customHeight="false" outlineLevel="0" collapsed="false">
      <c r="B38" s="14" t="s">
        <v>10</v>
      </c>
      <c r="C38" s="14" t="s">
        <v>164</v>
      </c>
      <c r="D38" s="14" t="s">
        <v>165</v>
      </c>
      <c r="E38" s="14" t="s">
        <v>166</v>
      </c>
      <c r="F38" s="14" t="s">
        <v>167</v>
      </c>
    </row>
    <row r="39" customFormat="false" ht="15" hidden="false" customHeight="false" outlineLevel="0" collapsed="false">
      <c r="B39" s="15" t="s">
        <v>13</v>
      </c>
      <c r="C39" s="16" t="n">
        <v>81</v>
      </c>
      <c r="D39" s="16" t="n">
        <v>80</v>
      </c>
      <c r="E39" s="15" t="n">
        <f aca="false">COUNTIF($E$5:$E$34,B39)-COUNTIF($C$5:$C$34,B39)</f>
        <v>-1</v>
      </c>
      <c r="F39" s="15" t="n">
        <f aca="false">D39-C39-E39</f>
        <v>0</v>
      </c>
    </row>
    <row r="40" customFormat="false" ht="15" hidden="false" customHeight="false" outlineLevel="0" collapsed="false">
      <c r="B40" s="15" t="s">
        <v>30</v>
      </c>
      <c r="C40" s="16" t="n">
        <v>65</v>
      </c>
      <c r="D40" s="16" t="n">
        <v>64</v>
      </c>
      <c r="E40" s="15" t="n">
        <f aca="false">COUNTIF($E$5:$E$34,B40)-COUNTIF($C$5:$C$34,B40)</f>
        <v>-1</v>
      </c>
      <c r="F40" s="15" t="n">
        <f aca="false">D40-C40-E40</f>
        <v>0</v>
      </c>
    </row>
    <row r="41" customFormat="false" ht="15" hidden="false" customHeight="false" outlineLevel="0" collapsed="false">
      <c r="B41" s="15" t="s">
        <v>50</v>
      </c>
      <c r="C41" s="16" t="n">
        <v>109</v>
      </c>
      <c r="D41" s="16" t="n">
        <v>106</v>
      </c>
      <c r="E41" s="15" t="n">
        <f aca="false">COUNTIF($E$5:$E$34,B41)-COUNTIF($C$5:$C$34,B41)</f>
        <v>-3</v>
      </c>
      <c r="F41" s="15" t="n">
        <f aca="false">D41-C41-E41</f>
        <v>0</v>
      </c>
    </row>
    <row r="42" customFormat="false" ht="15" hidden="false" customHeight="false" outlineLevel="0" collapsed="false">
      <c r="B42" s="15" t="s">
        <v>68</v>
      </c>
      <c r="C42" s="16" t="n">
        <v>76</v>
      </c>
      <c r="D42" s="16" t="n">
        <v>92</v>
      </c>
      <c r="E42" s="15" t="n">
        <f aca="false">COUNTIF($E$5:$E$34,B42)-COUNTIF($C$5:$C$34,B42)</f>
        <v>16</v>
      </c>
      <c r="F42" s="15" t="n">
        <f aca="false">D42-C42-E42</f>
        <v>0</v>
      </c>
    </row>
    <row r="43" customFormat="false" ht="15" hidden="false" customHeight="false" outlineLevel="0" collapsed="false">
      <c r="B43" s="15" t="s">
        <v>87</v>
      </c>
      <c r="C43" s="16" t="n">
        <v>398</v>
      </c>
      <c r="D43" s="16" t="n">
        <v>387</v>
      </c>
      <c r="E43" s="15" t="n">
        <f aca="false">COUNTIF($E$5:$E$34,B43)-COUNTIF($C$5:$C$34,B43)</f>
        <v>-11</v>
      </c>
      <c r="F43" s="15" t="n">
        <f aca="false">D43-C43-E43</f>
        <v>0</v>
      </c>
    </row>
    <row r="44" customFormat="false" ht="15" hidden="false" customHeight="false" outlineLevel="0" collapsed="false">
      <c r="B44" s="13" t="s">
        <v>168</v>
      </c>
      <c r="C44" s="13" t="n">
        <f aca="false">SUM(C39:C43)</f>
        <v>729</v>
      </c>
      <c r="D44" s="13" t="n">
        <f aca="false">SUM(D39:D43)</f>
        <v>729</v>
      </c>
      <c r="E44" s="13" t="n">
        <f aca="false">SUM(E39:E43)</f>
        <v>0</v>
      </c>
      <c r="F44" s="13" t="n">
        <f aca="false">SUM(F39:F43)</f>
        <v>0</v>
      </c>
    </row>
    <row r="46" customFormat="false" ht="15" hidden="false" customHeight="false" outlineLevel="0" collapsed="false">
      <c r="B46" s="17" t="s">
        <v>169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9" t="s">
        <v>13</v>
      </c>
    </row>
    <row r="2" customFormat="false" ht="15" hidden="false" customHeight="true" outlineLevel="0" collapsed="false">
      <c r="A2" s="9" t="s">
        <v>30</v>
      </c>
    </row>
    <row r="3" customFormat="false" ht="15" hidden="false" customHeight="true" outlineLevel="0" collapsed="false">
      <c r="A3" s="9" t="s">
        <v>50</v>
      </c>
    </row>
    <row r="4" customFormat="false" ht="15" hidden="false" customHeight="true" outlineLevel="0" collapsed="false">
      <c r="A4" s="9" t="s">
        <v>68</v>
      </c>
    </row>
    <row r="5" customFormat="false" ht="15" hidden="false" customHeight="true" outlineLevel="0" collapsed="false">
      <c r="A5" s="9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2026-10-04T09:51:05Z</dcterms:created>
  <dc:creator>openpyxl</dc:creator>
  <dc:description/>
  <dc:language>en-US</dc:language>
  <cp:lastModifiedBy/>
  <dcterms:modified xsi:type="dcterms:W3CDTF">2026-10-11T08:43:20Z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